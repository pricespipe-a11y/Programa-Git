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hidePivotFieldList="1"/>
  <mc:AlternateContent xmlns:mc="http://schemas.openxmlformats.org/markup-compatibility/2006">
    <mc:Choice Requires="x15">
      <x15ac:absPath xmlns:x15ac="http://schemas.microsoft.com/office/spreadsheetml/2010/11/ac" url="https://datacentercolombia-my.sharepoint.com/personal/july_herreno_dcsas_com_co/Documents/Escritorio/SENA/"/>
    </mc:Choice>
  </mc:AlternateContent>
  <xr:revisionPtr revIDLastSave="0" documentId="8_{CF424390-1832-4D8A-9BD4-CA913A1AC9A0}" xr6:coauthVersionLast="47" xr6:coauthVersionMax="47" xr10:uidLastSave="{00000000-0000-0000-0000-000000000000}"/>
  <bookViews>
    <workbookView xWindow="-120" yWindow="-120" windowWidth="20730" windowHeight="11040" activeTab="1" xr2:uid="{00000000-000D-0000-FFFF-FFFF00000000}"/>
  </bookViews>
  <sheets>
    <sheet name="INTEGRANTES" sheetId="5" r:id="rId1"/>
    <sheet name="CUÁNTOS SOMOS " sheetId="1" r:id="rId2"/>
    <sheet name="DÓNDE ESTAMOS" sheetId="2" r:id="rId3"/>
    <sheet name="CÓMO VIVIMOS" sheetId="3" r:id="rId4"/>
    <sheet name="Entrega "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 r="C4" i="3" s="1"/>
  <c r="D5" i="3"/>
  <c r="C5" i="3" s="1"/>
  <c r="D6" i="3"/>
  <c r="C6" i="3" s="1"/>
  <c r="D7" i="3"/>
  <c r="C7" i="3" s="1"/>
  <c r="D8" i="3"/>
  <c r="C8" i="3" s="1"/>
  <c r="D9" i="3"/>
  <c r="C9" i="3" s="1"/>
  <c r="D10" i="3"/>
  <c r="C10" i="3" s="1"/>
  <c r="D11" i="3"/>
  <c r="C11" i="3" s="1"/>
  <c r="D12" i="3"/>
  <c r="C12" i="3" s="1"/>
  <c r="D13" i="3"/>
  <c r="C13" i="3" s="1"/>
  <c r="D14" i="3"/>
  <c r="C14" i="3" s="1"/>
  <c r="D15" i="3"/>
  <c r="C15" i="3" s="1"/>
  <c r="D3" i="3"/>
  <c r="C3" i="3" s="1"/>
  <c r="D4" i="2"/>
  <c r="C4" i="2" s="1"/>
  <c r="D5" i="2"/>
  <c r="C5" i="2" s="1"/>
  <c r="D6" i="2"/>
  <c r="C6" i="2" s="1"/>
  <c r="D7" i="2"/>
  <c r="C7" i="2" s="1"/>
  <c r="D8" i="2"/>
  <c r="C8" i="2" s="1"/>
  <c r="D3" i="2"/>
  <c r="C3" i="2" s="1"/>
  <c r="C4" i="1"/>
  <c r="C5" i="1"/>
  <c r="C6" i="1"/>
  <c r="C7" i="1"/>
  <c r="C3" i="1"/>
</calcChain>
</file>

<file path=xl/sharedStrings.xml><?xml version="1.0" encoding="utf-8"?>
<sst xmlns="http://schemas.openxmlformats.org/spreadsheetml/2006/main" count="74" uniqueCount="60">
  <si>
    <t xml:space="preserve">VARIABLES </t>
  </si>
  <si>
    <t>FRECUENCIA PORCENTUAL</t>
  </si>
  <si>
    <t xml:space="preserve">ETIQUETA </t>
  </si>
  <si>
    <t xml:space="preserve">GENERO </t>
  </si>
  <si>
    <t>EDADES</t>
  </si>
  <si>
    <t>Hombre</t>
  </si>
  <si>
    <t>Mujer</t>
  </si>
  <si>
    <t>≥ 65</t>
  </si>
  <si>
    <t>0 - 14</t>
  </si>
  <si>
    <t>15 - 65</t>
  </si>
  <si>
    <t>Realice un análisis detallado de la información y revise si existen gráficos estadísticos que soporten dicha información, en caso de no encontrarlos, elabórelos. (Por ejemplo, histogramas, diagramas de barras, diagramas circulares, entre otros, dependiendo de las variables analizadas).</t>
  </si>
  <si>
    <t>A partir de la información consultada, determine las variables que fueron objeto de medición en este censo, y precise a partir de ello, cómo estos datos son esenciales para determinar el desarrollo de las variables demográficas. (Por ejemplo, el tamaño de los hogares, el índice de envejecimiento, el índice de juventud, los fenómenos migratorios dentro del país y, desde y hacia el exterior, por mencionar algunos).</t>
  </si>
  <si>
    <t>Total de personas censadas</t>
  </si>
  <si>
    <t>Ditribuación de población</t>
  </si>
  <si>
    <t>C. Municipal</t>
  </si>
  <si>
    <t>Centros poblados</t>
  </si>
  <si>
    <t>Rural</t>
  </si>
  <si>
    <t>Lugar de nacimiento</t>
  </si>
  <si>
    <t>Colombia</t>
  </si>
  <si>
    <t>Otro pais</t>
  </si>
  <si>
    <t>Sin información</t>
  </si>
  <si>
    <t>Servivios publicos</t>
  </si>
  <si>
    <t>N° Personas en el hogar</t>
  </si>
  <si>
    <t>Jefatura del hogar</t>
  </si>
  <si>
    <t>1 Persona</t>
  </si>
  <si>
    <t>2 Personas</t>
  </si>
  <si>
    <t>4 personas</t>
  </si>
  <si>
    <t xml:space="preserve">5 Personas y mas  </t>
  </si>
  <si>
    <t>3 Personas</t>
  </si>
  <si>
    <t>E. Electrica</t>
  </si>
  <si>
    <t xml:space="preserve">Acueducto </t>
  </si>
  <si>
    <t>Alcantarillado</t>
  </si>
  <si>
    <t xml:space="preserve">Gas </t>
  </si>
  <si>
    <t>Aseo</t>
  </si>
  <si>
    <t>Internet</t>
  </si>
  <si>
    <t>Histograma</t>
  </si>
  <si>
    <t xml:space="preserve">Grafica de barras </t>
  </si>
  <si>
    <t xml:space="preserve">Diagrama circular </t>
  </si>
  <si>
    <t>Frecuencia</t>
  </si>
  <si>
    <t>Llenar</t>
  </si>
  <si>
    <t>VARIABLES</t>
  </si>
  <si>
    <t>NOMBRES</t>
  </si>
  <si>
    <t>APELLIDOS</t>
  </si>
  <si>
    <t xml:space="preserve">July Andrea </t>
  </si>
  <si>
    <t>Herreño Gonzalez</t>
  </si>
  <si>
    <t xml:space="preserve">Melissa </t>
  </si>
  <si>
    <t>Borras Giraldo</t>
  </si>
  <si>
    <t>Jefersson Camilo</t>
  </si>
  <si>
    <t xml:space="preserve">Jhonatan David </t>
  </si>
  <si>
    <t xml:space="preserve">Sánchez Vargas </t>
  </si>
  <si>
    <t xml:space="preserve">Rafael Antonio </t>
  </si>
  <si>
    <t>Sanabria Muñoz</t>
  </si>
  <si>
    <t xml:space="preserve">
RESOLVER PROBLEMAS MATEMÁTICOS A PARTIR DE SITUACIONES GENERADAS EN EL CONTEXTO SOCIAL Y PRODUCTIVO</t>
  </si>
  <si>
    <t xml:space="preserve">Nuestro equipo esta conformado por: </t>
  </si>
  <si>
    <t>Bermúdez Prada</t>
  </si>
  <si>
    <t>1). Genero</t>
  </si>
  <si>
    <t>2). Edades</t>
  </si>
  <si>
    <t>3). Lugar de nacimiento</t>
  </si>
  <si>
    <t xml:space="preserve">4). Distribución de población </t>
  </si>
  <si>
    <t xml:space="preserve">5). Número de personas en el hogar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</si>
</sst>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
      <b/>
      <sz val="12"/>
      <color theme="1"/>
      <name val="Calibri"/>
      <family val="2"/>
      <scheme val="minor"/>
    </font>
    <font>
      <b/>
      <sz val="11"/>
      <color rgb="FFFF0000"/>
      <name val="Calibri"/>
      <family val="2"/>
      <scheme val="minor"/>
    </font>
    <font>
      <b/>
      <sz val="12"/>
      <color rgb="FFFF0000"/>
      <name val="Calibri"/>
      <family val="2"/>
      <scheme val="minor"/>
    </font>
    <font>
      <sz val="12"/>
      <color theme="1"/>
      <name val="Arial"/>
      <family val="2"/>
    </font>
    <font>
      <sz val="11"/>
      <color theme="1"/>
      <name val="Arial"/>
      <family val="2"/>
    </font>
    <font>
      <b/>
      <sz val="11"/>
      <color rgb="FF00B050"/>
      <name val="Arial"/>
      <family val="2"/>
    </font>
    <font>
      <b/>
      <sz val="11"/>
      <color theme="1"/>
      <name val="Arial"/>
      <family val="2"/>
    </font>
    <font>
      <sz val="11"/>
      <color rgb="FF000000"/>
      <name val="Calibri"/>
      <family val="2"/>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0"/>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0" fillId="0" borderId="0" xfId="0" applyAlignment="1">
      <alignment wrapText="1"/>
    </xf>
    <xf numFmtId="0" fontId="0" fillId="0" borderId="0" xfId="0" applyAlignment="1">
      <alignment horizontal="center"/>
    </xf>
    <xf numFmtId="0" fontId="5" fillId="2" borderId="9" xfId="0" applyFont="1" applyFill="1" applyBorder="1" applyAlignment="1">
      <alignment horizontal="center" vertical="center" wrapText="1"/>
    </xf>
    <xf numFmtId="0" fontId="5" fillId="3" borderId="10" xfId="0" applyFont="1" applyFill="1" applyBorder="1" applyAlignment="1">
      <alignment horizontal="center" vertical="center"/>
    </xf>
    <xf numFmtId="0" fontId="5" fillId="3" borderId="16" xfId="0" applyFont="1" applyFill="1" applyBorder="1" applyAlignment="1">
      <alignment horizontal="center" vertical="center"/>
    </xf>
    <xf numFmtId="0" fontId="5" fillId="4" borderId="10" xfId="0" applyFont="1" applyFill="1" applyBorder="1" applyAlignment="1">
      <alignment horizontal="center"/>
    </xf>
    <xf numFmtId="0" fontId="5" fillId="4" borderId="8" xfId="0" applyFont="1" applyFill="1" applyBorder="1" applyAlignment="1">
      <alignment horizontal="center"/>
    </xf>
    <xf numFmtId="0" fontId="5" fillId="4" borderId="12" xfId="0" applyFont="1" applyFill="1" applyBorder="1" applyAlignment="1">
      <alignment horizontal="center"/>
    </xf>
    <xf numFmtId="0" fontId="5" fillId="3" borderId="16" xfId="0" applyFont="1" applyFill="1" applyBorder="1" applyAlignment="1">
      <alignment horizontal="center" vertical="center" wrapText="1"/>
    </xf>
    <xf numFmtId="0" fontId="5" fillId="4" borderId="10" xfId="0" applyFont="1" applyFill="1" applyBorder="1" applyAlignment="1">
      <alignment horizontal="center" wrapText="1"/>
    </xf>
    <xf numFmtId="0" fontId="5" fillId="4" borderId="8" xfId="0" applyFont="1" applyFill="1" applyBorder="1" applyAlignment="1">
      <alignment horizontal="center" wrapText="1"/>
    </xf>
    <xf numFmtId="0" fontId="5" fillId="3" borderId="25" xfId="0" applyFont="1" applyFill="1" applyBorder="1" applyAlignment="1">
      <alignment horizontal="center" vertical="center" wrapText="1"/>
    </xf>
    <xf numFmtId="0" fontId="5" fillId="4" borderId="16" xfId="0" applyFont="1" applyFill="1" applyBorder="1" applyAlignment="1">
      <alignment horizontal="center"/>
    </xf>
    <xf numFmtId="0" fontId="5" fillId="2" borderId="3" xfId="0" applyFont="1" applyFill="1" applyBorder="1" applyAlignment="1">
      <alignment horizontal="center" vertical="center" wrapText="1"/>
    </xf>
    <xf numFmtId="0" fontId="5" fillId="4" borderId="27" xfId="0" applyFont="1" applyFill="1" applyBorder="1" applyAlignment="1">
      <alignment horizontal="center" wrapText="1"/>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19" xfId="0" applyFont="1" applyFill="1" applyBorder="1" applyAlignment="1">
      <alignment horizontal="center" vertical="center" wrapText="1"/>
    </xf>
    <xf numFmtId="0" fontId="5" fillId="3" borderId="21" xfId="0" applyFont="1" applyFill="1" applyBorder="1" applyAlignment="1">
      <alignment horizontal="center" vertical="center" wrapText="1"/>
    </xf>
    <xf numFmtId="1" fontId="5" fillId="3" borderId="29" xfId="0" applyNumberFormat="1" applyFont="1" applyFill="1" applyBorder="1" applyAlignment="1">
      <alignment horizontal="center" vertical="center"/>
    </xf>
    <xf numFmtId="1" fontId="5" fillId="3" borderId="30" xfId="0" applyNumberFormat="1" applyFont="1" applyFill="1" applyBorder="1" applyAlignment="1">
      <alignment horizontal="center" vertical="center"/>
    </xf>
    <xf numFmtId="1" fontId="5" fillId="4" borderId="29" xfId="0" applyNumberFormat="1" applyFont="1" applyFill="1" applyBorder="1" applyAlignment="1">
      <alignment horizontal="center"/>
    </xf>
    <xf numFmtId="1" fontId="5" fillId="4" borderId="31" xfId="0" applyNumberFormat="1" applyFont="1" applyFill="1" applyBorder="1" applyAlignment="1">
      <alignment horizontal="center"/>
    </xf>
    <xf numFmtId="1" fontId="5" fillId="4" borderId="32" xfId="0" applyNumberFormat="1" applyFont="1" applyFill="1" applyBorder="1" applyAlignment="1">
      <alignment horizontal="center"/>
    </xf>
    <xf numFmtId="10" fontId="3" fillId="3" borderId="29" xfId="1" applyNumberFormat="1" applyFont="1" applyFill="1" applyBorder="1" applyAlignment="1">
      <alignment horizontal="center" vertical="center"/>
    </xf>
    <xf numFmtId="10" fontId="3" fillId="3" borderId="30" xfId="0" applyNumberFormat="1" applyFont="1" applyFill="1" applyBorder="1" applyAlignment="1">
      <alignment horizontal="center" vertical="center"/>
    </xf>
    <xf numFmtId="10" fontId="3" fillId="4" borderId="29" xfId="1" applyNumberFormat="1" applyFont="1" applyFill="1" applyBorder="1" applyAlignment="1">
      <alignment horizontal="center"/>
    </xf>
    <xf numFmtId="10" fontId="3" fillId="4" borderId="31" xfId="1" applyNumberFormat="1" applyFont="1" applyFill="1" applyBorder="1" applyAlignment="1">
      <alignment horizontal="center"/>
    </xf>
    <xf numFmtId="10" fontId="3" fillId="4" borderId="32" xfId="1" applyNumberFormat="1" applyFont="1" applyFill="1" applyBorder="1" applyAlignment="1">
      <alignment horizontal="center" vertical="center"/>
    </xf>
    <xf numFmtId="164" fontId="3" fillId="3" borderId="29" xfId="1" applyNumberFormat="1" applyFont="1" applyFill="1" applyBorder="1" applyAlignment="1">
      <alignment horizontal="center" vertical="center" wrapText="1"/>
    </xf>
    <xf numFmtId="164" fontId="3" fillId="3" borderId="37" xfId="1" applyNumberFormat="1" applyFont="1" applyFill="1" applyBorder="1" applyAlignment="1">
      <alignment horizontal="center" vertical="center" wrapText="1"/>
    </xf>
    <xf numFmtId="164" fontId="3" fillId="3" borderId="30" xfId="1" applyNumberFormat="1" applyFont="1" applyFill="1" applyBorder="1" applyAlignment="1">
      <alignment horizontal="center" vertical="center" wrapText="1"/>
    </xf>
    <xf numFmtId="164" fontId="3" fillId="4" borderId="29" xfId="1" applyNumberFormat="1" applyFont="1" applyFill="1" applyBorder="1" applyAlignment="1">
      <alignment horizontal="center" wrapText="1"/>
    </xf>
    <xf numFmtId="164" fontId="3" fillId="4" borderId="31" xfId="1" applyNumberFormat="1" applyFont="1" applyFill="1" applyBorder="1" applyAlignment="1">
      <alignment horizontal="center" wrapText="1"/>
    </xf>
    <xf numFmtId="164" fontId="3" fillId="4" borderId="32" xfId="1" applyNumberFormat="1" applyFont="1" applyFill="1" applyBorder="1" applyAlignment="1">
      <alignment horizontal="center" wrapText="1"/>
    </xf>
    <xf numFmtId="1" fontId="3" fillId="3" borderId="11" xfId="0" applyNumberFormat="1" applyFont="1" applyFill="1" applyBorder="1" applyAlignment="1">
      <alignment horizontal="center" vertical="center" wrapText="1"/>
    </xf>
    <xf numFmtId="1" fontId="3" fillId="3" borderId="26" xfId="0" applyNumberFormat="1" applyFont="1" applyFill="1" applyBorder="1" applyAlignment="1">
      <alignment horizontal="center" vertical="center" wrapText="1"/>
    </xf>
    <xf numFmtId="1" fontId="3" fillId="3" borderId="17" xfId="0" applyNumberFormat="1" applyFont="1" applyFill="1" applyBorder="1" applyAlignment="1">
      <alignment horizontal="center" vertical="center" wrapText="1"/>
    </xf>
    <xf numFmtId="1" fontId="3" fillId="4" borderId="11" xfId="0" applyNumberFormat="1" applyFont="1" applyFill="1" applyBorder="1" applyAlignment="1">
      <alignment horizontal="center" wrapText="1"/>
    </xf>
    <xf numFmtId="1" fontId="3" fillId="4" borderId="20" xfId="0" applyNumberFormat="1" applyFont="1" applyFill="1" applyBorder="1" applyAlignment="1">
      <alignment horizontal="center" wrapText="1"/>
    </xf>
    <xf numFmtId="1" fontId="3" fillId="4" borderId="13" xfId="0" applyNumberFormat="1" applyFont="1" applyFill="1" applyBorder="1" applyAlignment="1">
      <alignment horizontal="center" wrapText="1"/>
    </xf>
    <xf numFmtId="0" fontId="6" fillId="7" borderId="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6" fillId="7" borderId="33" xfId="0" applyFont="1" applyFill="1" applyBorder="1" applyAlignment="1">
      <alignment horizontal="center" vertical="center"/>
    </xf>
    <xf numFmtId="0" fontId="6" fillId="7" borderId="34" xfId="0" applyFont="1" applyFill="1" applyBorder="1" applyAlignment="1">
      <alignment horizontal="center" vertical="center"/>
    </xf>
    <xf numFmtId="0" fontId="6" fillId="7" borderId="35" xfId="0" applyFont="1" applyFill="1" applyBorder="1" applyAlignment="1">
      <alignment horizontal="center" vertical="center"/>
    </xf>
    <xf numFmtId="0" fontId="6" fillId="7" borderId="36" xfId="0" applyFont="1"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164" fontId="3" fillId="3" borderId="31" xfId="1" applyNumberFormat="1" applyFont="1" applyFill="1" applyBorder="1" applyAlignment="1">
      <alignment horizontal="center" vertical="center" wrapText="1"/>
    </xf>
    <xf numFmtId="164" fontId="3" fillId="3" borderId="32" xfId="1" applyNumberFormat="1" applyFont="1" applyFill="1" applyBorder="1" applyAlignment="1">
      <alignment horizontal="center" vertical="center" wrapText="1"/>
    </xf>
    <xf numFmtId="164" fontId="3" fillId="4" borderId="38" xfId="1" applyNumberFormat="1" applyFont="1" applyFill="1" applyBorder="1" applyAlignment="1">
      <alignment horizontal="center" wrapText="1"/>
    </xf>
    <xf numFmtId="164" fontId="3" fillId="4" borderId="30" xfId="1" applyNumberFormat="1" applyFont="1" applyFill="1" applyBorder="1" applyAlignment="1">
      <alignment horizontal="center" wrapText="1"/>
    </xf>
    <xf numFmtId="164" fontId="0" fillId="6" borderId="29" xfId="1" applyNumberFormat="1" applyFont="1" applyFill="1" applyBorder="1" applyAlignment="1">
      <alignment horizontal="center"/>
    </xf>
    <xf numFmtId="164" fontId="0" fillId="6" borderId="32" xfId="1" applyNumberFormat="1" applyFont="1" applyFill="1" applyBorder="1" applyAlignment="1">
      <alignment horizontal="center"/>
    </xf>
    <xf numFmtId="1" fontId="3" fillId="3" borderId="20" xfId="0" applyNumberFormat="1" applyFont="1" applyFill="1" applyBorder="1" applyAlignment="1">
      <alignment horizontal="center" vertical="center" wrapText="1"/>
    </xf>
    <xf numFmtId="1" fontId="3" fillId="3" borderId="13" xfId="0" applyNumberFormat="1" applyFont="1" applyFill="1" applyBorder="1" applyAlignment="1">
      <alignment horizontal="center" vertical="center" wrapText="1"/>
    </xf>
    <xf numFmtId="1" fontId="3" fillId="4" borderId="28" xfId="0" applyNumberFormat="1" applyFont="1" applyFill="1" applyBorder="1" applyAlignment="1">
      <alignment horizontal="center" wrapText="1"/>
    </xf>
    <xf numFmtId="1" fontId="3" fillId="4" borderId="17" xfId="0" applyNumberFormat="1" applyFont="1" applyFill="1" applyBorder="1" applyAlignment="1">
      <alignment horizontal="center" wrapText="1"/>
    </xf>
    <xf numFmtId="1" fontId="0" fillId="6" borderId="11" xfId="0" applyNumberFormat="1" applyFill="1" applyBorder="1" applyAlignment="1">
      <alignment horizontal="center"/>
    </xf>
    <xf numFmtId="1" fontId="0" fillId="6" borderId="13" xfId="0" applyNumberFormat="1" applyFill="1" applyBorder="1" applyAlignment="1">
      <alignment horizontal="center"/>
    </xf>
    <xf numFmtId="0" fontId="6" fillId="2" borderId="1" xfId="0" applyFont="1" applyFill="1" applyBorder="1" applyAlignment="1">
      <alignment horizontal="center"/>
    </xf>
    <xf numFmtId="0" fontId="2" fillId="6" borderId="10" xfId="0" applyFont="1" applyFill="1" applyBorder="1" applyAlignment="1">
      <alignment horizontal="center" vertical="center"/>
    </xf>
    <xf numFmtId="0" fontId="2" fillId="6" borderId="12" xfId="0" applyFont="1" applyFill="1" applyBorder="1" applyAlignment="1">
      <alignment horizontal="center" vertical="center"/>
    </xf>
    <xf numFmtId="0" fontId="9" fillId="0" borderId="0" xfId="0" applyFont="1"/>
    <xf numFmtId="0" fontId="11" fillId="0" borderId="8" xfId="0" applyFont="1" applyBorder="1"/>
    <xf numFmtId="0" fontId="9" fillId="0" borderId="8" xfId="0" applyFont="1" applyBorder="1" applyAlignment="1">
      <alignment horizontal="left"/>
    </xf>
    <xf numFmtId="0" fontId="10" fillId="0" borderId="0" xfId="0"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left"/>
    </xf>
    <xf numFmtId="0" fontId="9" fillId="0" borderId="0" xfId="0" applyFont="1" applyAlignment="1">
      <alignment horizontal="left"/>
    </xf>
    <xf numFmtId="0" fontId="11" fillId="0" borderId="31" xfId="0" applyFont="1" applyBorder="1" applyAlignment="1">
      <alignment horizontal="center"/>
    </xf>
    <xf numFmtId="0" fontId="11" fillId="0" borderId="39" xfId="0" applyFont="1" applyBorder="1" applyAlignment="1">
      <alignment horizontal="center"/>
    </xf>
    <xf numFmtId="0" fontId="8" fillId="0" borderId="31" xfId="0" applyFont="1" applyBorder="1" applyAlignment="1">
      <alignment horizontal="left" vertical="center"/>
    </xf>
    <xf numFmtId="0" fontId="8" fillId="0" borderId="39" xfId="0" applyFont="1" applyBorder="1" applyAlignment="1">
      <alignment horizontal="left" vertical="center"/>
    </xf>
    <xf numFmtId="0" fontId="5" fillId="3" borderId="3" xfId="0" applyFont="1" applyFill="1" applyBorder="1" applyAlignment="1">
      <alignment horizontal="center" vertical="center"/>
    </xf>
    <xf numFmtId="0" fontId="5" fillId="3" borderId="14"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3" xfId="0" applyFont="1" applyFill="1" applyBorder="1" applyAlignment="1">
      <alignment horizontal="center" vertical="center"/>
    </xf>
    <xf numFmtId="0" fontId="5" fillId="4" borderId="24" xfId="0" applyFont="1" applyFill="1" applyBorder="1" applyAlignment="1">
      <alignment horizontal="center" vertical="center"/>
    </xf>
    <xf numFmtId="0" fontId="5" fillId="5" borderId="6" xfId="0" applyFont="1" applyFill="1" applyBorder="1" applyAlignment="1">
      <alignment horizontal="center"/>
    </xf>
    <xf numFmtId="0" fontId="5" fillId="3" borderId="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5" borderId="6" xfId="0" applyFont="1" applyFill="1" applyBorder="1" applyAlignment="1">
      <alignment horizontal="center" wrapText="1"/>
    </xf>
    <xf numFmtId="0" fontId="2" fillId="6" borderId="18"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12" fillId="0" borderId="8" xfId="0" applyFont="1" applyBorder="1" applyAlignment="1">
      <alignment horizontal="left" vertical="center"/>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14" xfId="0" applyFont="1" applyBorder="1" applyAlignment="1">
      <alignment horizontal="left" vertical="top" wrapText="1"/>
    </xf>
    <xf numFmtId="0" fontId="4" fillId="0" borderId="0" xfId="0" applyFont="1" applyAlignment="1">
      <alignment horizontal="left" vertical="top" wrapText="1"/>
    </xf>
    <xf numFmtId="0" fontId="4" fillId="0" borderId="15"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 xfId="0" applyFont="1" applyBorder="1" applyAlignment="1">
      <alignment horizontal="left" vertical="top"/>
    </xf>
    <xf numFmtId="0" fontId="4" fillId="0" borderId="4" xfId="0" applyFont="1" applyBorder="1" applyAlignment="1">
      <alignment horizontal="left" vertical="top"/>
    </xf>
    <xf numFmtId="0" fontId="4" fillId="0" borderId="14" xfId="0" applyFont="1" applyBorder="1" applyAlignment="1">
      <alignment horizontal="left" vertical="top"/>
    </xf>
    <xf numFmtId="0" fontId="4" fillId="0" borderId="0" xfId="0" applyFont="1" applyAlignment="1">
      <alignment horizontal="left" vertical="top"/>
    </xf>
    <xf numFmtId="0" fontId="4" fillId="0" borderId="15" xfId="0" applyFont="1" applyBorder="1" applyAlignment="1">
      <alignment horizontal="left" vertical="top"/>
    </xf>
    <xf numFmtId="0" fontId="4" fillId="0" borderId="5" xfId="0" applyFont="1" applyBorder="1" applyAlignment="1">
      <alignment horizontal="left" vertical="top"/>
    </xf>
    <xf numFmtId="0" fontId="4" fillId="0" borderId="6" xfId="0" applyFont="1" applyBorder="1" applyAlignment="1">
      <alignment horizontal="left" vertical="top"/>
    </xf>
    <xf numFmtId="0" fontId="4" fillId="0" borderId="7" xfId="0" applyFont="1" applyBorder="1" applyAlignment="1">
      <alignment horizontal="left" vertical="top"/>
    </xf>
    <xf numFmtId="0" fontId="0" fillId="0" borderId="0" xfId="0"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No Personas en el hogar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BD0-42F5-BE73-8A294DB21D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BD0-42F5-BE73-8A294DB21D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BD0-42F5-BE73-8A294DB21D8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BD0-42F5-BE73-8A294DB21D8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5BD0-42F5-BE73-8A294DB21D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'CÓMO VIVIMOS'!$B$9:$B$13</c:f>
              <c:strCache>
                <c:ptCount val="5"/>
                <c:pt idx="0">
                  <c:v>1 Persona</c:v>
                </c:pt>
                <c:pt idx="1">
                  <c:v>2 Personas</c:v>
                </c:pt>
                <c:pt idx="2">
                  <c:v>3 Personas</c:v>
                </c:pt>
                <c:pt idx="3">
                  <c:v>4 personas</c:v>
                </c:pt>
                <c:pt idx="4">
                  <c:v>5 Personas y mas  </c:v>
                </c:pt>
              </c:strCache>
            </c:strRef>
          </c:cat>
          <c:val>
            <c:numRef>
              <c:f>'CÓMO VIVIMOS'!$C$9:$C$13</c:f>
              <c:numCache>
                <c:formatCode>0</c:formatCode>
                <c:ptCount val="5"/>
                <c:pt idx="0">
                  <c:v>8927821.3900000006</c:v>
                </c:pt>
                <c:pt idx="1">
                  <c:v>10472093.198000001</c:v>
                </c:pt>
                <c:pt idx="2">
                  <c:v>11195970.607999999</c:v>
                </c:pt>
                <c:pt idx="3">
                  <c:v>9410406.3300000001</c:v>
                </c:pt>
                <c:pt idx="4">
                  <c:v>8107426.9920000006</c:v>
                </c:pt>
              </c:numCache>
            </c:numRef>
          </c:val>
          <c:extLst>
            <c:ext xmlns:c16="http://schemas.microsoft.com/office/drawing/2014/chart" uri="{C3380CC4-5D6E-409C-BE32-E72D297353CC}">
              <c16:uniqueId val="{0000000A-5BD0-42F5-BE73-8A294DB21D8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200" b="1">
                <a:solidFill>
                  <a:srgbClr val="7030A0"/>
                </a:solidFill>
                <a:latin typeface="Arial" panose="020B0604020202020204" pitchFamily="34" charset="0"/>
                <a:cs typeface="Arial" panose="020B0604020202020204" pitchFamily="34" charset="0"/>
              </a:rPr>
              <a:t>Edades</a:t>
            </a:r>
            <a:r>
              <a:rPr lang="es-CO" sz="1200" b="1" baseline="0">
                <a:solidFill>
                  <a:srgbClr val="7030A0"/>
                </a:solidFill>
                <a:latin typeface="Arial" panose="020B0604020202020204" pitchFamily="34" charset="0"/>
                <a:cs typeface="Arial" panose="020B0604020202020204" pitchFamily="34" charset="0"/>
              </a:rPr>
              <a:t> censadas entre el 2005 - 2018</a:t>
            </a:r>
            <a:endParaRPr lang="es-CO" sz="1200" b="1">
              <a:solidFill>
                <a:srgbClr val="7030A0"/>
              </a:solidFill>
              <a:latin typeface="Arial" panose="020B0604020202020204" pitchFamily="34" charset="0"/>
              <a:cs typeface="Arial" panose="020B0604020202020204" pitchFamily="34"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multiLvlStrRef>
              <c:f>'CUÁNTOS SOMOS '!$A$5:$B$7</c:f>
              <c:multiLvlStrCache>
                <c:ptCount val="3"/>
                <c:lvl>
                  <c:pt idx="0">
                    <c:v>0 - 14</c:v>
                  </c:pt>
                  <c:pt idx="1">
                    <c:v>15 - 65</c:v>
                  </c:pt>
                  <c:pt idx="2">
                    <c:v>≥ 65</c:v>
                  </c:pt>
                </c:lvl>
                <c:lvl>
                  <c:pt idx="0">
                    <c:v>EDADES</c:v>
                  </c:pt>
                </c:lvl>
              </c:multiLvlStrCache>
            </c:multiLvlStrRef>
          </c:cat>
          <c:val>
            <c:numRef>
              <c:f>'CUÁNTOS SOMOS '!$C$5:$C$7</c:f>
              <c:numCache>
                <c:formatCode>0</c:formatCode>
                <c:ptCount val="3"/>
                <c:pt idx="0">
                  <c:v>10906419.643999999</c:v>
                </c:pt>
                <c:pt idx="1">
                  <c:v>32912292.908000004</c:v>
                </c:pt>
                <c:pt idx="2">
                  <c:v>4391522.9539999999</c:v>
                </c:pt>
              </c:numCache>
            </c:numRef>
          </c:val>
          <c:extLst>
            <c:ext xmlns:c16="http://schemas.microsoft.com/office/drawing/2014/chart" uri="{C3380CC4-5D6E-409C-BE32-E72D297353CC}">
              <c16:uniqueId val="{00000000-19BD-4ECF-BBB9-C314FFB3B6F2}"/>
            </c:ext>
          </c:extLst>
        </c:ser>
        <c:dLbls>
          <c:showLegendKey val="0"/>
          <c:showVal val="0"/>
          <c:showCatName val="0"/>
          <c:showSerName val="0"/>
          <c:showPercent val="0"/>
          <c:showBubbleSize val="0"/>
        </c:dLbls>
        <c:gapWidth val="0"/>
        <c:overlap val="-27"/>
        <c:axId val="295341840"/>
        <c:axId val="295343760"/>
      </c:barChart>
      <c:catAx>
        <c:axId val="2953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5343760"/>
        <c:crosses val="autoZero"/>
        <c:auto val="1"/>
        <c:lblAlgn val="ctr"/>
        <c:lblOffset val="100"/>
        <c:noMultiLvlLbl val="0"/>
      </c:catAx>
      <c:valAx>
        <c:axId val="295343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534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935182</xdr:colOff>
      <xdr:row>10</xdr:row>
      <xdr:rowOff>129020</xdr:rowOff>
    </xdr:from>
    <xdr:to>
      <xdr:col>6</xdr:col>
      <xdr:colOff>28317</xdr:colOff>
      <xdr:row>27</xdr:row>
      <xdr:rowOff>130977</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091296" y="2328429"/>
          <a:ext cx="3024362" cy="3240457"/>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0</xdr:col>
      <xdr:colOff>216477</xdr:colOff>
      <xdr:row>10</xdr:row>
      <xdr:rowOff>138546</xdr:rowOff>
    </xdr:from>
    <xdr:to>
      <xdr:col>2</xdr:col>
      <xdr:colOff>527030</xdr:colOff>
      <xdr:row>29</xdr:row>
      <xdr:rowOff>185713</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16477" y="2268682"/>
          <a:ext cx="2466667" cy="3666667"/>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6</xdr:col>
      <xdr:colOff>372127</xdr:colOff>
      <xdr:row>10</xdr:row>
      <xdr:rowOff>120363</xdr:rowOff>
    </xdr:from>
    <xdr:to>
      <xdr:col>13</xdr:col>
      <xdr:colOff>677231</xdr:colOff>
      <xdr:row>25</xdr:row>
      <xdr:rowOff>138547</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6459468" y="2319772"/>
          <a:ext cx="5639104" cy="2875684"/>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165238</xdr:colOff>
      <xdr:row>9</xdr:row>
      <xdr:rowOff>30057</xdr:rowOff>
    </xdr:from>
    <xdr:to>
      <xdr:col>7</xdr:col>
      <xdr:colOff>758627</xdr:colOff>
      <xdr:row>30</xdr:row>
      <xdr:rowOff>42334</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65238" y="2072640"/>
          <a:ext cx="7472556" cy="4012777"/>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8</xdr:col>
      <xdr:colOff>343405</xdr:colOff>
      <xdr:row>9</xdr:row>
      <xdr:rowOff>43300</xdr:rowOff>
    </xdr:from>
    <xdr:to>
      <xdr:col>16</xdr:col>
      <xdr:colOff>475976</xdr:colOff>
      <xdr:row>22</xdr:row>
      <xdr:rowOff>185848</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7984572" y="2085883"/>
          <a:ext cx="6228571" cy="2619048"/>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271278</xdr:colOff>
      <xdr:row>16</xdr:row>
      <xdr:rowOff>149994</xdr:rowOff>
    </xdr:from>
    <xdr:to>
      <xdr:col>4</xdr:col>
      <xdr:colOff>372342</xdr:colOff>
      <xdr:row>37</xdr:row>
      <xdr:rowOff>65822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71278" y="3553017"/>
          <a:ext cx="4742337" cy="3916328"/>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5</xdr:col>
      <xdr:colOff>164522</xdr:colOff>
      <xdr:row>16</xdr:row>
      <xdr:rowOff>141333</xdr:rowOff>
    </xdr:from>
    <xdr:to>
      <xdr:col>13</xdr:col>
      <xdr:colOff>257121</xdr:colOff>
      <xdr:row>31</xdr:row>
      <xdr:rowOff>21988</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5567795" y="3544356"/>
          <a:ext cx="6188599" cy="2738155"/>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14</xdr:col>
      <xdr:colOff>67885</xdr:colOff>
      <xdr:row>16</xdr:row>
      <xdr:rowOff>109419</xdr:rowOff>
    </xdr:from>
    <xdr:to>
      <xdr:col>21</xdr:col>
      <xdr:colOff>524361</xdr:colOff>
      <xdr:row>31</xdr:row>
      <xdr:rowOff>137633</xdr:rowOff>
    </xdr:to>
    <xdr:pic>
      <xdr:nvPicPr>
        <xdr:cNvPr id="6" name="Imagen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2312802" y="3549002"/>
          <a:ext cx="5790476" cy="2885714"/>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350520</xdr:colOff>
      <xdr:row>31</xdr:row>
      <xdr:rowOff>22860</xdr:rowOff>
    </xdr:from>
    <xdr:to>
      <xdr:col>22</xdr:col>
      <xdr:colOff>167640</xdr:colOff>
      <xdr:row>46</xdr:row>
      <xdr:rowOff>22860</xdr:rowOff>
    </xdr:to>
    <xdr:graphicFrame macro="">
      <xdr:nvGraphicFramePr>
        <xdr:cNvPr id="5" name="Gráfico 4">
          <a:extLst>
            <a:ext uri="{FF2B5EF4-FFF2-40B4-BE49-F238E27FC236}">
              <a16:creationId xmlns:a16="http://schemas.microsoft.com/office/drawing/2014/main" id="{8C30E6DB-31C0-4384-99AD-9AC181905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9526</xdr:colOff>
      <xdr:row>2</xdr:row>
      <xdr:rowOff>95250</xdr:rowOff>
    </xdr:from>
    <xdr:to>
      <xdr:col>13</xdr:col>
      <xdr:colOff>561976</xdr:colOff>
      <xdr:row>14</xdr:row>
      <xdr:rowOff>85725</xdr:rowOff>
    </xdr:to>
    <xdr:graphicFrame macro="">
      <xdr:nvGraphicFramePr>
        <xdr:cNvPr id="3" name="Gráfico 2">
          <a:extLst>
            <a:ext uri="{FF2B5EF4-FFF2-40B4-BE49-F238E27FC236}">
              <a16:creationId xmlns:a16="http://schemas.microsoft.com/office/drawing/2014/main" id="{51687612-8CB9-4AA1-867A-A2560C84B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9525</xdr:colOff>
      <xdr:row>16</xdr:row>
      <xdr:rowOff>85724</xdr:rowOff>
    </xdr:from>
    <xdr:to>
      <xdr:col>13</xdr:col>
      <xdr:colOff>1152524</xdr:colOff>
      <xdr:row>29</xdr:row>
      <xdr:rowOff>53906</xdr:rowOff>
    </xdr:to>
    <xdr:pic>
      <xdr:nvPicPr>
        <xdr:cNvPr id="6" name="Imagen 5">
          <a:extLst>
            <a:ext uri="{FF2B5EF4-FFF2-40B4-BE49-F238E27FC236}">
              <a16:creationId xmlns:a16="http://schemas.microsoft.com/office/drawing/2014/main" id="{542197D7-F526-4F53-54F3-41ECAC147D65}"/>
            </a:ext>
          </a:extLst>
        </xdr:cNvPr>
        <xdr:cNvPicPr>
          <a:picLocks noChangeAspect="1"/>
        </xdr:cNvPicPr>
      </xdr:nvPicPr>
      <xdr:blipFill>
        <a:blip xmlns:r="http://schemas.openxmlformats.org/officeDocument/2006/relationships" r:embed="rId3"/>
        <a:stretch>
          <a:fillRect/>
        </a:stretch>
      </xdr:blipFill>
      <xdr:spPr>
        <a:xfrm>
          <a:off x="7620000" y="2990849"/>
          <a:ext cx="4114799" cy="2473257"/>
        </a:xfrm>
        <a:prstGeom prst="rect">
          <a:avLst/>
        </a:prstGeom>
      </xdr:spPr>
    </xdr:pic>
    <xdr:clientData/>
  </xdr:twoCellAnchor>
  <xdr:twoCellAnchor editAs="oneCell">
    <xdr:from>
      <xdr:col>9</xdr:col>
      <xdr:colOff>0</xdr:colOff>
      <xdr:row>32</xdr:row>
      <xdr:rowOff>0</xdr:rowOff>
    </xdr:from>
    <xdr:to>
      <xdr:col>14</xdr:col>
      <xdr:colOff>431689</xdr:colOff>
      <xdr:row>46</xdr:row>
      <xdr:rowOff>88631</xdr:rowOff>
    </xdr:to>
    <xdr:pic>
      <xdr:nvPicPr>
        <xdr:cNvPr id="7" name="Imagen 6">
          <a:extLst>
            <a:ext uri="{FF2B5EF4-FFF2-40B4-BE49-F238E27FC236}">
              <a16:creationId xmlns:a16="http://schemas.microsoft.com/office/drawing/2014/main" id="{46605353-AA74-C10B-FA27-3FF0FADFAB83}"/>
            </a:ext>
          </a:extLst>
        </xdr:cNvPr>
        <xdr:cNvPicPr>
          <a:picLocks noChangeAspect="1"/>
        </xdr:cNvPicPr>
      </xdr:nvPicPr>
      <xdr:blipFill>
        <a:blip xmlns:r="http://schemas.openxmlformats.org/officeDocument/2006/relationships" r:embed="rId4"/>
        <a:stretch>
          <a:fillRect/>
        </a:stretch>
      </xdr:blipFill>
      <xdr:spPr>
        <a:xfrm>
          <a:off x="7610475" y="5810250"/>
          <a:ext cx="4584589" cy="275563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3759-61BF-4F17-B2D9-0E82B574B5E9}">
  <dimension ref="B3:G12"/>
  <sheetViews>
    <sheetView workbookViewId="0">
      <selection activeCell="J11" sqref="J11"/>
    </sheetView>
  </sheetViews>
  <sheetFormatPr baseColWidth="10" defaultRowHeight="15" x14ac:dyDescent="0.25"/>
  <cols>
    <col min="2" max="2" width="26" customWidth="1"/>
    <col min="4" max="4" width="15.85546875" customWidth="1"/>
  </cols>
  <sheetData>
    <row r="3" spans="2:7" ht="109.5" customHeight="1" x14ac:dyDescent="0.25">
      <c r="B3" s="71" t="s">
        <v>52</v>
      </c>
      <c r="C3" s="72"/>
      <c r="D3" s="72"/>
      <c r="E3" s="72"/>
      <c r="F3" s="72"/>
      <c r="G3" s="72"/>
    </row>
    <row r="4" spans="2:7" x14ac:dyDescent="0.25">
      <c r="B4" s="68"/>
      <c r="C4" s="68"/>
      <c r="D4" s="68"/>
      <c r="E4" s="68"/>
      <c r="F4" s="68"/>
      <c r="G4" s="68"/>
    </row>
    <row r="5" spans="2:7" x14ac:dyDescent="0.25">
      <c r="B5" s="73" t="s">
        <v>53</v>
      </c>
      <c r="C5" s="74"/>
      <c r="D5" s="74"/>
      <c r="E5" s="68"/>
      <c r="F5" s="68"/>
      <c r="G5" s="68"/>
    </row>
    <row r="6" spans="2:7" x14ac:dyDescent="0.25">
      <c r="B6" s="68"/>
      <c r="C6" s="68"/>
      <c r="D6" s="68"/>
      <c r="E6" s="68"/>
      <c r="F6" s="68"/>
      <c r="G6" s="68"/>
    </row>
    <row r="7" spans="2:7" x14ac:dyDescent="0.25">
      <c r="B7" s="69" t="s">
        <v>41</v>
      </c>
      <c r="C7" s="75" t="s">
        <v>42</v>
      </c>
      <c r="D7" s="76"/>
      <c r="E7" s="68"/>
      <c r="F7" s="68"/>
      <c r="G7" s="68"/>
    </row>
    <row r="8" spans="2:7" x14ac:dyDescent="0.25">
      <c r="B8" s="70" t="s">
        <v>43</v>
      </c>
      <c r="C8" s="77" t="s">
        <v>44</v>
      </c>
      <c r="D8" s="78"/>
      <c r="E8" s="68"/>
      <c r="F8" s="68"/>
      <c r="G8" s="68"/>
    </row>
    <row r="9" spans="2:7" x14ac:dyDescent="0.25">
      <c r="B9" s="70" t="s">
        <v>45</v>
      </c>
      <c r="C9" s="77" t="s">
        <v>46</v>
      </c>
      <c r="D9" s="78"/>
      <c r="E9" s="68"/>
      <c r="F9" s="68"/>
      <c r="G9" s="68"/>
    </row>
    <row r="10" spans="2:7" x14ac:dyDescent="0.25">
      <c r="B10" s="70" t="s">
        <v>47</v>
      </c>
      <c r="C10" s="77" t="s">
        <v>54</v>
      </c>
      <c r="D10" s="78"/>
      <c r="E10" s="68"/>
      <c r="F10" s="68"/>
      <c r="G10" s="68"/>
    </row>
    <row r="11" spans="2:7" x14ac:dyDescent="0.25">
      <c r="B11" s="70" t="s">
        <v>48</v>
      </c>
      <c r="C11" s="77" t="s">
        <v>49</v>
      </c>
      <c r="D11" s="78"/>
      <c r="E11" s="68"/>
      <c r="F11" s="68"/>
      <c r="G11" s="68"/>
    </row>
    <row r="12" spans="2:7" x14ac:dyDescent="0.25">
      <c r="B12" s="70" t="s">
        <v>50</v>
      </c>
      <c r="C12" s="77" t="s">
        <v>51</v>
      </c>
      <c r="D12" s="78"/>
      <c r="E12" s="68"/>
      <c r="F12" s="68"/>
      <c r="G12" s="68"/>
    </row>
  </sheetData>
  <mergeCells count="8">
    <mergeCell ref="C10:D10"/>
    <mergeCell ref="C11:D11"/>
    <mergeCell ref="C12:D12"/>
    <mergeCell ref="B3:G3"/>
    <mergeCell ref="B5:D5"/>
    <mergeCell ref="C7:D7"/>
    <mergeCell ref="C8:D8"/>
    <mergeCell ref="C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zoomScale="85" zoomScaleNormal="85" workbookViewId="0">
      <selection activeCell="I2" sqref="I2"/>
    </sheetView>
  </sheetViews>
  <sheetFormatPr baseColWidth="10" defaultRowHeight="15" x14ac:dyDescent="0.25"/>
  <cols>
    <col min="1" max="1" width="16.7109375" customWidth="1"/>
    <col min="2" max="3" width="15.5703125" customWidth="1"/>
    <col min="4" max="4" width="20.5703125" customWidth="1"/>
    <col min="15" max="15" width="14.42578125" customWidth="1"/>
    <col min="16" max="16" width="14.140625" customWidth="1"/>
  </cols>
  <sheetData>
    <row r="1" spans="1:5" ht="16.5" thickBot="1" x14ac:dyDescent="0.3">
      <c r="A1" s="84" t="s">
        <v>12</v>
      </c>
      <c r="B1" s="84"/>
      <c r="C1" s="84"/>
      <c r="D1" s="44">
        <v>48258494</v>
      </c>
    </row>
    <row r="2" spans="1:5" s="1" customFormat="1" ht="32.25" thickBot="1" x14ac:dyDescent="0.3">
      <c r="A2" s="3" t="s">
        <v>0</v>
      </c>
      <c r="B2" s="3" t="s">
        <v>2</v>
      </c>
      <c r="C2" s="3" t="s">
        <v>38</v>
      </c>
      <c r="D2" s="14" t="s">
        <v>1</v>
      </c>
      <c r="E2" s="42" t="s">
        <v>39</v>
      </c>
    </row>
    <row r="3" spans="1:5" ht="15.75" x14ac:dyDescent="0.25">
      <c r="A3" s="79" t="s">
        <v>3</v>
      </c>
      <c r="B3" s="4" t="s">
        <v>5</v>
      </c>
      <c r="C3" s="20">
        <f>+D3*D1</f>
        <v>23550145.072000001</v>
      </c>
      <c r="D3" s="25">
        <v>0.48799999999999999</v>
      </c>
      <c r="E3" s="45">
        <v>48.8</v>
      </c>
    </row>
    <row r="4" spans="1:5" ht="16.5" thickBot="1" x14ac:dyDescent="0.3">
      <c r="A4" s="80"/>
      <c r="B4" s="5" t="s">
        <v>6</v>
      </c>
      <c r="C4" s="21">
        <f>+D4*D1</f>
        <v>24708348.927999999</v>
      </c>
      <c r="D4" s="26">
        <v>0.51200000000000001</v>
      </c>
      <c r="E4" s="47">
        <v>51.2</v>
      </c>
    </row>
    <row r="5" spans="1:5" ht="15.75" x14ac:dyDescent="0.25">
      <c r="A5" s="81" t="s">
        <v>4</v>
      </c>
      <c r="B5" s="6" t="s">
        <v>8</v>
      </c>
      <c r="C5" s="22">
        <f>+D1*D5</f>
        <v>10906419.643999999</v>
      </c>
      <c r="D5" s="27">
        <v>0.22600000000000001</v>
      </c>
      <c r="E5" s="48">
        <v>22.6</v>
      </c>
    </row>
    <row r="6" spans="1:5" ht="15.75" x14ac:dyDescent="0.25">
      <c r="A6" s="82"/>
      <c r="B6" s="7" t="s">
        <v>9</v>
      </c>
      <c r="C6" s="23">
        <f>+D6*D1</f>
        <v>32912292.908000004</v>
      </c>
      <c r="D6" s="28">
        <v>0.68200000000000005</v>
      </c>
      <c r="E6" s="46">
        <v>68.2</v>
      </c>
    </row>
    <row r="7" spans="1:5" ht="16.5" thickBot="1" x14ac:dyDescent="0.3">
      <c r="A7" s="83"/>
      <c r="B7" s="8" t="s">
        <v>7</v>
      </c>
      <c r="C7" s="24">
        <f>+D7*D1</f>
        <v>4391522.9539999999</v>
      </c>
      <c r="D7" s="29">
        <v>9.0999999999999998E-2</v>
      </c>
      <c r="E7" s="47">
        <v>9.1</v>
      </c>
    </row>
  </sheetData>
  <mergeCells count="3">
    <mergeCell ref="A3:A4"/>
    <mergeCell ref="A5:A7"/>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90" zoomScaleNormal="90" workbookViewId="0">
      <selection activeCell="M3" sqref="M3"/>
    </sheetView>
  </sheetViews>
  <sheetFormatPr baseColWidth="10" defaultRowHeight="15" x14ac:dyDescent="0.25"/>
  <cols>
    <col min="1" max="1" width="16.42578125" customWidth="1"/>
    <col min="2" max="2" width="19.28515625" customWidth="1"/>
    <col min="3" max="3" width="15.5703125" customWidth="1"/>
    <col min="4" max="4" width="17.42578125" customWidth="1"/>
  </cols>
  <sheetData>
    <row r="1" spans="1:5" ht="16.5" thickBot="1" x14ac:dyDescent="0.3">
      <c r="A1" s="84" t="s">
        <v>12</v>
      </c>
      <c r="B1" s="84"/>
      <c r="C1" s="84"/>
      <c r="D1" s="44">
        <v>48258494</v>
      </c>
    </row>
    <row r="2" spans="1:5" ht="32.25" thickBot="1" x14ac:dyDescent="0.3">
      <c r="A2" s="3" t="s">
        <v>0</v>
      </c>
      <c r="B2" s="3" t="s">
        <v>2</v>
      </c>
      <c r="C2" s="3" t="s">
        <v>38</v>
      </c>
      <c r="D2" s="14" t="s">
        <v>1</v>
      </c>
      <c r="E2" s="42" t="s">
        <v>39</v>
      </c>
    </row>
    <row r="3" spans="1:5" ht="15.75" x14ac:dyDescent="0.25">
      <c r="A3" s="85" t="s">
        <v>13</v>
      </c>
      <c r="B3" s="4" t="s">
        <v>14</v>
      </c>
      <c r="C3" s="36">
        <f>+$D$1*D3</f>
        <v>37207298.873999998</v>
      </c>
      <c r="D3" s="30">
        <f>+E3/100</f>
        <v>0.77099999999999991</v>
      </c>
      <c r="E3" s="45">
        <v>77.099999999999994</v>
      </c>
    </row>
    <row r="4" spans="1:5" ht="15.75" x14ac:dyDescent="0.25">
      <c r="A4" s="86"/>
      <c r="B4" s="12" t="s">
        <v>15</v>
      </c>
      <c r="C4" s="37">
        <f t="shared" ref="C4:C8" si="0">+$D$1*D4</f>
        <v>3426353.0739999996</v>
      </c>
      <c r="D4" s="31">
        <f t="shared" ref="D4:D8" si="1">+E4/100</f>
        <v>7.0999999999999994E-2</v>
      </c>
      <c r="E4" s="46">
        <v>7.1</v>
      </c>
    </row>
    <row r="5" spans="1:5" ht="16.5" thickBot="1" x14ac:dyDescent="0.3">
      <c r="A5" s="86"/>
      <c r="B5" s="9" t="s">
        <v>16</v>
      </c>
      <c r="C5" s="38">
        <f t="shared" si="0"/>
        <v>7624842.0520000001</v>
      </c>
      <c r="D5" s="32">
        <f t="shared" si="1"/>
        <v>0.158</v>
      </c>
      <c r="E5" s="47">
        <v>15.8</v>
      </c>
    </row>
    <row r="6" spans="1:5" ht="15.75" x14ac:dyDescent="0.25">
      <c r="A6" s="87" t="s">
        <v>17</v>
      </c>
      <c r="B6" s="10" t="s">
        <v>18</v>
      </c>
      <c r="C6" s="39">
        <f t="shared" si="0"/>
        <v>46617705.203999996</v>
      </c>
      <c r="D6" s="33">
        <f t="shared" si="1"/>
        <v>0.96599999999999997</v>
      </c>
      <c r="E6" s="45">
        <v>96.6</v>
      </c>
    </row>
    <row r="7" spans="1:5" ht="15.75" x14ac:dyDescent="0.25">
      <c r="A7" s="88"/>
      <c r="B7" s="11" t="s">
        <v>19</v>
      </c>
      <c r="C7" s="40">
        <f t="shared" si="0"/>
        <v>1061686.868</v>
      </c>
      <c r="D7" s="34">
        <f t="shared" si="1"/>
        <v>2.2000000000000002E-2</v>
      </c>
      <c r="E7" s="46">
        <v>2.2000000000000002</v>
      </c>
    </row>
    <row r="8" spans="1:5" ht="16.5" thickBot="1" x14ac:dyDescent="0.3">
      <c r="A8" s="89"/>
      <c r="B8" s="8" t="s">
        <v>20</v>
      </c>
      <c r="C8" s="41">
        <f t="shared" si="0"/>
        <v>579101.92799999996</v>
      </c>
      <c r="D8" s="35">
        <f t="shared" si="1"/>
        <v>1.2E-2</v>
      </c>
      <c r="E8" s="47">
        <v>1.2</v>
      </c>
    </row>
  </sheetData>
  <mergeCells count="3">
    <mergeCell ref="A1:C1"/>
    <mergeCell ref="A3:A5"/>
    <mergeCell ref="A6:A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17" zoomScale="110" zoomScaleNormal="110" workbookViewId="0">
      <selection activeCell="J9" sqref="J9"/>
    </sheetView>
  </sheetViews>
  <sheetFormatPr baseColWidth="10" defaultRowHeight="15" x14ac:dyDescent="0.25"/>
  <cols>
    <col min="1" max="1" width="16.42578125" customWidth="1"/>
    <col min="2" max="2" width="20.85546875" customWidth="1"/>
    <col min="3" max="3" width="15.5703125" customWidth="1"/>
    <col min="4" max="4" width="16.5703125" customWidth="1"/>
  </cols>
  <sheetData>
    <row r="1" spans="1:5" ht="16.5" thickBot="1" x14ac:dyDescent="0.3">
      <c r="A1" s="90" t="s">
        <v>12</v>
      </c>
      <c r="B1" s="90"/>
      <c r="C1" s="90"/>
      <c r="D1" s="43">
        <v>48258494</v>
      </c>
      <c r="E1" s="1"/>
    </row>
    <row r="2" spans="1:5" ht="32.25" thickBot="1" x14ac:dyDescent="0.3">
      <c r="A2" s="3" t="s">
        <v>0</v>
      </c>
      <c r="B2" s="3" t="s">
        <v>2</v>
      </c>
      <c r="C2" s="3" t="s">
        <v>38</v>
      </c>
      <c r="D2" s="14" t="s">
        <v>1</v>
      </c>
      <c r="E2" s="42" t="s">
        <v>39</v>
      </c>
    </row>
    <row r="3" spans="1:5" ht="15.75" x14ac:dyDescent="0.25">
      <c r="A3" s="85" t="s">
        <v>21</v>
      </c>
      <c r="B3" s="16" t="s">
        <v>29</v>
      </c>
      <c r="C3" s="36">
        <f>+$D$1*D3</f>
        <v>46472929.721999995</v>
      </c>
      <c r="D3" s="30">
        <f>+E3/100</f>
        <v>0.96299999999999997</v>
      </c>
      <c r="E3" s="49">
        <v>96.3</v>
      </c>
    </row>
    <row r="4" spans="1:5" ht="15.75" x14ac:dyDescent="0.25">
      <c r="A4" s="86"/>
      <c r="B4" s="17" t="s">
        <v>30</v>
      </c>
      <c r="C4" s="59">
        <f t="shared" ref="C4:C15" si="0">+$D$1*D4</f>
        <v>41695338.816000007</v>
      </c>
      <c r="D4" s="53">
        <f t="shared" ref="D4:D15" si="1">+E4/100</f>
        <v>0.8640000000000001</v>
      </c>
      <c r="E4" s="50">
        <v>86.4</v>
      </c>
    </row>
    <row r="5" spans="1:5" ht="15.75" x14ac:dyDescent="0.25">
      <c r="A5" s="86"/>
      <c r="B5" s="17" t="s">
        <v>31</v>
      </c>
      <c r="C5" s="59">
        <f t="shared" si="0"/>
        <v>36966006.403999992</v>
      </c>
      <c r="D5" s="53">
        <f t="shared" si="1"/>
        <v>0.7659999999999999</v>
      </c>
      <c r="E5" s="50">
        <v>76.599999999999994</v>
      </c>
    </row>
    <row r="6" spans="1:5" ht="15.75" x14ac:dyDescent="0.25">
      <c r="A6" s="86"/>
      <c r="B6" s="17" t="s">
        <v>32</v>
      </c>
      <c r="C6" s="59">
        <f t="shared" si="0"/>
        <v>32236673.991999995</v>
      </c>
      <c r="D6" s="53">
        <f t="shared" si="1"/>
        <v>0.66799999999999993</v>
      </c>
      <c r="E6" s="50">
        <v>66.8</v>
      </c>
    </row>
    <row r="7" spans="1:5" ht="15.75" x14ac:dyDescent="0.25">
      <c r="A7" s="86"/>
      <c r="B7" s="18" t="s">
        <v>33</v>
      </c>
      <c r="C7" s="59">
        <f t="shared" si="0"/>
        <v>39378931.103999995</v>
      </c>
      <c r="D7" s="53">
        <f t="shared" si="1"/>
        <v>0.81599999999999995</v>
      </c>
      <c r="E7" s="50">
        <v>81.599999999999994</v>
      </c>
    </row>
    <row r="8" spans="1:5" ht="16.5" thickBot="1" x14ac:dyDescent="0.3">
      <c r="A8" s="86"/>
      <c r="B8" s="19" t="s">
        <v>34</v>
      </c>
      <c r="C8" s="60">
        <f t="shared" si="0"/>
        <v>20944186.396000002</v>
      </c>
      <c r="D8" s="54">
        <f t="shared" si="1"/>
        <v>0.434</v>
      </c>
      <c r="E8" s="51">
        <v>43.4</v>
      </c>
    </row>
    <row r="9" spans="1:5" ht="15.75" x14ac:dyDescent="0.25">
      <c r="A9" s="87" t="s">
        <v>22</v>
      </c>
      <c r="B9" s="15" t="s">
        <v>24</v>
      </c>
      <c r="C9" s="61">
        <f t="shared" si="0"/>
        <v>8927821.3900000006</v>
      </c>
      <c r="D9" s="55">
        <f t="shared" si="1"/>
        <v>0.185</v>
      </c>
      <c r="E9" s="49">
        <v>18.5</v>
      </c>
    </row>
    <row r="10" spans="1:5" ht="15.75" x14ac:dyDescent="0.25">
      <c r="A10" s="88"/>
      <c r="B10" s="11" t="s">
        <v>25</v>
      </c>
      <c r="C10" s="40">
        <f t="shared" si="0"/>
        <v>10472093.198000001</v>
      </c>
      <c r="D10" s="34">
        <f t="shared" si="1"/>
        <v>0.217</v>
      </c>
      <c r="E10" s="50">
        <v>21.7</v>
      </c>
    </row>
    <row r="11" spans="1:5" ht="15.75" x14ac:dyDescent="0.25">
      <c r="A11" s="88"/>
      <c r="B11" s="13" t="s">
        <v>28</v>
      </c>
      <c r="C11" s="62">
        <f t="shared" si="0"/>
        <v>11195970.607999999</v>
      </c>
      <c r="D11" s="56">
        <f t="shared" si="1"/>
        <v>0.23199999999999998</v>
      </c>
      <c r="E11" s="50">
        <v>23.2</v>
      </c>
    </row>
    <row r="12" spans="1:5" ht="15.75" x14ac:dyDescent="0.25">
      <c r="A12" s="88"/>
      <c r="B12" s="13" t="s">
        <v>26</v>
      </c>
      <c r="C12" s="62">
        <f t="shared" si="0"/>
        <v>9410406.3300000001</v>
      </c>
      <c r="D12" s="56">
        <f t="shared" si="1"/>
        <v>0.19500000000000001</v>
      </c>
      <c r="E12" s="50">
        <v>19.5</v>
      </c>
    </row>
    <row r="13" spans="1:5" ht="16.5" thickBot="1" x14ac:dyDescent="0.3">
      <c r="A13" s="88"/>
      <c r="B13" s="13" t="s">
        <v>27</v>
      </c>
      <c r="C13" s="62">
        <f t="shared" si="0"/>
        <v>8107426.9920000006</v>
      </c>
      <c r="D13" s="56">
        <f t="shared" si="1"/>
        <v>0.16800000000000001</v>
      </c>
      <c r="E13" s="51">
        <v>16.8</v>
      </c>
    </row>
    <row r="14" spans="1:5" x14ac:dyDescent="0.25">
      <c r="A14" s="91" t="s">
        <v>23</v>
      </c>
      <c r="B14" s="66" t="s">
        <v>5</v>
      </c>
      <c r="C14" s="63">
        <f t="shared" si="0"/>
        <v>28617286.941999998</v>
      </c>
      <c r="D14" s="57">
        <f t="shared" si="1"/>
        <v>0.59299999999999997</v>
      </c>
      <c r="E14" s="52">
        <v>59.3</v>
      </c>
    </row>
    <row r="15" spans="1:5" ht="15.75" thickBot="1" x14ac:dyDescent="0.3">
      <c r="A15" s="92"/>
      <c r="B15" s="67" t="s">
        <v>6</v>
      </c>
      <c r="C15" s="64">
        <f t="shared" si="0"/>
        <v>19641207.058000002</v>
      </c>
      <c r="D15" s="58">
        <f t="shared" si="1"/>
        <v>0.40700000000000003</v>
      </c>
      <c r="E15" s="51">
        <v>40.700000000000003</v>
      </c>
    </row>
  </sheetData>
  <mergeCells count="4">
    <mergeCell ref="A1:C1"/>
    <mergeCell ref="A3:A8"/>
    <mergeCell ref="A9:A13"/>
    <mergeCell ref="A14:A1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
  <sheetViews>
    <sheetView topLeftCell="A15" zoomScaleNormal="100" workbookViewId="0">
      <selection activeCell="G25" sqref="G25"/>
    </sheetView>
  </sheetViews>
  <sheetFormatPr baseColWidth="10" defaultRowHeight="15" x14ac:dyDescent="0.25"/>
  <cols>
    <col min="1" max="1" width="16.5703125" customWidth="1"/>
    <col min="3" max="3" width="7.85546875" customWidth="1"/>
    <col min="6" max="6" width="16.140625" customWidth="1"/>
    <col min="8" max="8" width="22.140625" customWidth="1"/>
    <col min="9" max="9" width="5.7109375" customWidth="1"/>
    <col min="10" max="10" width="16.85546875" customWidth="1"/>
    <col min="11" max="11" width="6.140625" customWidth="1"/>
    <col min="12" max="12" width="17.7109375" customWidth="1"/>
    <col min="13" max="13" width="3.85546875" customWidth="1"/>
    <col min="14" max="14" width="17.7109375" customWidth="1"/>
  </cols>
  <sheetData>
    <row r="1" spans="1:15" ht="15.75" thickBot="1" x14ac:dyDescent="0.3">
      <c r="A1" s="94" t="s">
        <v>10</v>
      </c>
      <c r="B1" s="95"/>
      <c r="C1" s="95"/>
      <c r="D1" s="95"/>
      <c r="E1" s="95"/>
      <c r="F1" s="95"/>
      <c r="G1" s="95"/>
      <c r="H1" s="96"/>
    </row>
    <row r="2" spans="1:15" ht="15.75" thickBot="1" x14ac:dyDescent="0.3">
      <c r="A2" s="97"/>
      <c r="B2" s="98"/>
      <c r="C2" s="98"/>
      <c r="D2" s="98"/>
      <c r="E2" s="98"/>
      <c r="F2" s="98"/>
      <c r="G2" s="98"/>
      <c r="H2" s="99"/>
      <c r="J2" s="65" t="s">
        <v>35</v>
      </c>
      <c r="K2" s="2"/>
      <c r="M2" s="2"/>
    </row>
    <row r="3" spans="1:15" x14ac:dyDescent="0.25">
      <c r="A3" s="97"/>
      <c r="B3" s="98"/>
      <c r="C3" s="98"/>
      <c r="D3" s="98"/>
      <c r="E3" s="98"/>
      <c r="F3" s="98"/>
      <c r="G3" s="98"/>
      <c r="H3" s="99"/>
    </row>
    <row r="4" spans="1:15" x14ac:dyDescent="0.25">
      <c r="A4" s="97"/>
      <c r="B4" s="98"/>
      <c r="C4" s="98"/>
      <c r="D4" s="98"/>
      <c r="E4" s="98"/>
      <c r="F4" s="98"/>
      <c r="G4" s="98"/>
      <c r="H4" s="99"/>
    </row>
    <row r="5" spans="1:15" x14ac:dyDescent="0.25">
      <c r="A5" s="97"/>
      <c r="B5" s="98"/>
      <c r="C5" s="98"/>
      <c r="D5" s="98"/>
      <c r="E5" s="98"/>
      <c r="F5" s="98"/>
      <c r="G5" s="98"/>
      <c r="H5" s="99"/>
    </row>
    <row r="6" spans="1:15" x14ac:dyDescent="0.25">
      <c r="A6" s="97"/>
      <c r="B6" s="98"/>
      <c r="C6" s="98"/>
      <c r="D6" s="98"/>
      <c r="E6" s="98"/>
      <c r="F6" s="98"/>
      <c r="G6" s="98"/>
      <c r="H6" s="99"/>
    </row>
    <row r="7" spans="1:15" x14ac:dyDescent="0.25">
      <c r="A7" s="97"/>
      <c r="B7" s="98"/>
      <c r="C7" s="98"/>
      <c r="D7" s="98"/>
      <c r="E7" s="98"/>
      <c r="F7" s="98"/>
      <c r="G7" s="98"/>
      <c r="H7" s="99"/>
    </row>
    <row r="8" spans="1:15" x14ac:dyDescent="0.25">
      <c r="A8" s="97"/>
      <c r="B8" s="98"/>
      <c r="C8" s="98"/>
      <c r="D8" s="98"/>
      <c r="E8" s="98"/>
      <c r="F8" s="98"/>
      <c r="G8" s="98"/>
      <c r="H8" s="99"/>
    </row>
    <row r="9" spans="1:15" ht="15.75" thickBot="1" x14ac:dyDescent="0.3">
      <c r="A9" s="100"/>
      <c r="B9" s="101"/>
      <c r="C9" s="101"/>
      <c r="D9" s="101"/>
      <c r="E9" s="101"/>
      <c r="F9" s="101"/>
      <c r="G9" s="101"/>
      <c r="H9" s="102"/>
    </row>
    <row r="10" spans="1:15" x14ac:dyDescent="0.25">
      <c r="A10" s="94" t="s">
        <v>11</v>
      </c>
      <c r="B10" s="103"/>
      <c r="C10" s="103"/>
      <c r="D10" s="103"/>
      <c r="E10" s="103"/>
      <c r="F10" s="103"/>
      <c r="G10" s="103"/>
      <c r="H10" s="104"/>
    </row>
    <row r="11" spans="1:15" x14ac:dyDescent="0.25">
      <c r="A11" s="105"/>
      <c r="B11" s="106"/>
      <c r="C11" s="106"/>
      <c r="D11" s="106"/>
      <c r="E11" s="106"/>
      <c r="F11" s="106"/>
      <c r="G11" s="106"/>
      <c r="H11" s="107"/>
    </row>
    <row r="12" spans="1:15" x14ac:dyDescent="0.25">
      <c r="A12" s="105"/>
      <c r="B12" s="106"/>
      <c r="C12" s="106"/>
      <c r="D12" s="106"/>
      <c r="E12" s="106"/>
      <c r="F12" s="106"/>
      <c r="G12" s="106"/>
      <c r="H12" s="107"/>
    </row>
    <row r="13" spans="1:15" x14ac:dyDescent="0.25">
      <c r="A13" s="105"/>
      <c r="B13" s="106"/>
      <c r="C13" s="106"/>
      <c r="D13" s="106"/>
      <c r="E13" s="106"/>
      <c r="F13" s="106"/>
      <c r="G13" s="106"/>
      <c r="H13" s="107"/>
    </row>
    <row r="14" spans="1:15" x14ac:dyDescent="0.25">
      <c r="A14" s="105"/>
      <c r="B14" s="106"/>
      <c r="C14" s="106"/>
      <c r="D14" s="106"/>
      <c r="E14" s="106"/>
      <c r="F14" s="106"/>
      <c r="G14" s="106"/>
      <c r="H14" s="107"/>
    </row>
    <row r="15" spans="1:15" ht="15.75" thickBot="1" x14ac:dyDescent="0.3">
      <c r="A15" s="105"/>
      <c r="B15" s="106"/>
      <c r="C15" s="106"/>
      <c r="D15" s="106"/>
      <c r="E15" s="106"/>
      <c r="F15" s="106"/>
      <c r="G15" s="106"/>
      <c r="H15" s="107"/>
      <c r="K15" s="111"/>
      <c r="L15" s="111"/>
      <c r="M15" s="111"/>
      <c r="N15" s="111"/>
      <c r="O15" s="111"/>
    </row>
    <row r="16" spans="1:15" ht="15.75" thickBot="1" x14ac:dyDescent="0.3">
      <c r="A16" s="105"/>
      <c r="B16" s="106"/>
      <c r="C16" s="106"/>
      <c r="D16" s="106"/>
      <c r="E16" s="106"/>
      <c r="F16" s="106"/>
      <c r="G16" s="106"/>
      <c r="H16" s="107"/>
      <c r="J16" s="65" t="s">
        <v>36</v>
      </c>
      <c r="K16" s="111"/>
      <c r="L16" s="111"/>
      <c r="M16" s="111"/>
      <c r="N16" s="111"/>
      <c r="O16" s="111"/>
    </row>
    <row r="17" spans="1:10" x14ac:dyDescent="0.25">
      <c r="A17" s="105"/>
      <c r="B17" s="106"/>
      <c r="C17" s="106"/>
      <c r="D17" s="106"/>
      <c r="E17" s="106"/>
      <c r="F17" s="106"/>
      <c r="G17" s="106"/>
      <c r="H17" s="107"/>
    </row>
    <row r="18" spans="1:10" x14ac:dyDescent="0.25">
      <c r="A18" s="105"/>
      <c r="B18" s="106"/>
      <c r="C18" s="106"/>
      <c r="D18" s="106"/>
      <c r="E18" s="106"/>
      <c r="F18" s="106"/>
      <c r="G18" s="106"/>
      <c r="H18" s="107"/>
    </row>
    <row r="19" spans="1:10" ht="15.75" thickBot="1" x14ac:dyDescent="0.3">
      <c r="A19" s="108"/>
      <c r="B19" s="109"/>
      <c r="C19" s="109"/>
      <c r="D19" s="109"/>
      <c r="E19" s="109"/>
      <c r="F19" s="109"/>
      <c r="G19" s="109"/>
      <c r="H19" s="110"/>
    </row>
    <row r="20" spans="1:10" ht="15.75" thickBot="1" x14ac:dyDescent="0.3"/>
    <row r="21" spans="1:10" ht="15.75" thickBot="1" x14ac:dyDescent="0.3">
      <c r="A21" s="65" t="s">
        <v>40</v>
      </c>
    </row>
    <row r="23" spans="1:10" x14ac:dyDescent="0.25">
      <c r="B23" s="93" t="s">
        <v>55</v>
      </c>
      <c r="C23" s="93"/>
      <c r="D23" s="93"/>
      <c r="E23" s="93"/>
    </row>
    <row r="24" spans="1:10" x14ac:dyDescent="0.25">
      <c r="B24" s="93" t="s">
        <v>56</v>
      </c>
      <c r="C24" s="93"/>
      <c r="D24" s="93"/>
      <c r="E24" s="93"/>
    </row>
    <row r="25" spans="1:10" x14ac:dyDescent="0.25">
      <c r="B25" s="93" t="s">
        <v>57</v>
      </c>
      <c r="C25" s="93"/>
      <c r="D25" s="93"/>
      <c r="E25" s="93"/>
    </row>
    <row r="26" spans="1:10" x14ac:dyDescent="0.25">
      <c r="B26" s="93" t="s">
        <v>58</v>
      </c>
      <c r="C26" s="93"/>
      <c r="D26" s="93"/>
      <c r="E26" s="93"/>
    </row>
    <row r="27" spans="1:10" x14ac:dyDescent="0.25">
      <c r="B27" s="93" t="s">
        <v>59</v>
      </c>
      <c r="C27" s="93"/>
      <c r="D27" s="93"/>
      <c r="E27" s="93"/>
    </row>
    <row r="30" spans="1:10" ht="15.75" thickBot="1" x14ac:dyDescent="0.3"/>
    <row r="31" spans="1:10" ht="15.75" thickBot="1" x14ac:dyDescent="0.3">
      <c r="J31" s="65" t="s">
        <v>37</v>
      </c>
    </row>
  </sheetData>
  <mergeCells count="8">
    <mergeCell ref="A1:H9"/>
    <mergeCell ref="A10:H19"/>
    <mergeCell ref="K15:O16"/>
    <mergeCell ref="B27:E27"/>
    <mergeCell ref="B23:E23"/>
    <mergeCell ref="B24:E24"/>
    <mergeCell ref="B25:E25"/>
    <mergeCell ref="B26: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INTEGRANTES</vt:lpstr>
      <vt:lpstr>CUÁNTOS SOMOS </vt:lpstr>
      <vt:lpstr>DÓNDE ESTAMOS</vt:lpstr>
      <vt:lpstr>CÓMO VIVIMOS</vt:lpstr>
      <vt:lpstr>Entrega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EAT</dc:creator>
  <cp:lastModifiedBy>July Andrea Herreño Gonzalez</cp:lastModifiedBy>
  <dcterms:created xsi:type="dcterms:W3CDTF">2022-02-13T22:40:53Z</dcterms:created>
  <dcterms:modified xsi:type="dcterms:W3CDTF">2025-08-02T01:29:03Z</dcterms:modified>
</cp:coreProperties>
</file>